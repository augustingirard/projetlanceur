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2221" codeName="{B7FE6334-C1A2-E50D-BD3D-5F4D41BBC2E3}"/>
  <workbookPr codeName="ThisWorkbook" autoCompressPictures="0"/>
  <bookViews>
    <workbookView xWindow="0" yWindow="0" windowWidth="25600" windowHeight="14700"/>
  </bookViews>
  <sheets>
    <sheet name="3-etages" sheetId="1" r:id="rId1"/>
    <sheet name="4-etages" sheetId="6" r:id="rId2"/>
    <sheet name="2-etages" sheetId="4" r:id="rId3"/>
    <sheet name="Feuil2" sheetId="8" r:id="rId4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8" i="1" l="1"/>
  <c r="D27" i="1"/>
  <c r="E27" i="1"/>
  <c r="D26" i="1"/>
  <c r="E26" i="1"/>
  <c r="G26" i="1"/>
  <c r="G27" i="1"/>
  <c r="G28" i="1"/>
  <c r="B22" i="1"/>
  <c r="B21" i="1"/>
  <c r="B23" i="1"/>
  <c r="F28" i="1"/>
  <c r="H29" i="1"/>
  <c r="H28" i="1"/>
  <c r="F27" i="1"/>
  <c r="H27" i="1"/>
  <c r="F26" i="1"/>
  <c r="H26" i="1"/>
  <c r="H31" i="1"/>
  <c r="E11" i="1"/>
  <c r="E10" i="1"/>
  <c r="E9" i="1"/>
  <c r="F28" i="6"/>
  <c r="B14" i="6"/>
  <c r="H29" i="6"/>
  <c r="H28" i="6"/>
  <c r="D27" i="6"/>
  <c r="D28" i="6"/>
  <c r="E27" i="6"/>
  <c r="F27" i="6"/>
  <c r="H27" i="6"/>
  <c r="D26" i="6"/>
  <c r="E26" i="6"/>
  <c r="F26" i="6"/>
  <c r="H26" i="6"/>
  <c r="I26" i="6"/>
  <c r="I27" i="6"/>
  <c r="I28" i="6"/>
  <c r="D25" i="6"/>
  <c r="E25" i="6"/>
  <c r="F25" i="6"/>
  <c r="H25" i="6"/>
  <c r="I25" i="6"/>
  <c r="B8" i="1"/>
  <c r="B9" i="1"/>
  <c r="B19" i="6"/>
  <c r="B11" i="6"/>
  <c r="B10" i="6"/>
  <c r="B12" i="6"/>
  <c r="B9" i="6"/>
  <c r="B8" i="6"/>
  <c r="B6" i="1"/>
  <c r="B6" i="6"/>
  <c r="B5" i="6"/>
  <c r="G28" i="6"/>
  <c r="B4" i="6"/>
  <c r="B3" i="6"/>
  <c r="B19" i="4"/>
  <c r="B14" i="4"/>
  <c r="H29" i="4"/>
  <c r="B9" i="4"/>
  <c r="B10" i="4"/>
  <c r="B11" i="4"/>
  <c r="B8" i="4"/>
  <c r="B5" i="4"/>
  <c r="G28" i="4"/>
  <c r="B6" i="4"/>
  <c r="B4" i="4"/>
  <c r="B3" i="4"/>
  <c r="B12" i="4"/>
  <c r="F28" i="4"/>
  <c r="D28" i="4"/>
  <c r="D27" i="4"/>
  <c r="B12" i="1"/>
  <c r="B20" i="1"/>
  <c r="B20" i="6"/>
  <c r="B18" i="6"/>
  <c r="B21" i="6"/>
  <c r="B20" i="4"/>
  <c r="G27" i="6"/>
  <c r="B18" i="4"/>
  <c r="B21" i="4"/>
  <c r="B18" i="1"/>
  <c r="E27" i="4"/>
  <c r="G27" i="4"/>
  <c r="B22" i="4"/>
  <c r="H28" i="4"/>
  <c r="I28" i="4"/>
  <c r="I28" i="1"/>
  <c r="G26" i="6"/>
  <c r="G25" i="6"/>
  <c r="B23" i="4"/>
  <c r="F27" i="4"/>
  <c r="H27" i="4"/>
  <c r="B22" i="6"/>
  <c r="B23" i="6"/>
  <c r="I27" i="4"/>
  <c r="H31" i="4"/>
  <c r="I27" i="1"/>
  <c r="I26" i="1"/>
  <c r="H31" i="6"/>
</calcChain>
</file>

<file path=xl/sharedStrings.xml><?xml version="1.0" encoding="utf-8"?>
<sst xmlns="http://schemas.openxmlformats.org/spreadsheetml/2006/main" count="173" uniqueCount="57">
  <si>
    <t>EP1</t>
  </si>
  <si>
    <t>EP2</t>
  </si>
  <si>
    <t>EP3</t>
  </si>
  <si>
    <t>Isp(s) (eq)</t>
  </si>
  <si>
    <t>Sat</t>
  </si>
  <si>
    <t>m</t>
  </si>
  <si>
    <t>Vitesse initiale</t>
  </si>
  <si>
    <t>Pertes</t>
  </si>
  <si>
    <t>Vitesse d'injection</t>
  </si>
  <si>
    <t>mu_terrestre</t>
  </si>
  <si>
    <t>rayon terrestre</t>
  </si>
  <si>
    <t>périgé</t>
  </si>
  <si>
    <t>apogé</t>
  </si>
  <si>
    <t>m.s-1</t>
  </si>
  <si>
    <t>m3.s-2</t>
  </si>
  <si>
    <t>m.s-0</t>
  </si>
  <si>
    <t>DeltaV propulsif</t>
  </si>
  <si>
    <t>Données</t>
  </si>
  <si>
    <t>= Vitesse_d'_injection - Vitesse initiale + Pertes</t>
  </si>
  <si>
    <t>DeltaV fourni</t>
  </si>
  <si>
    <t>g0</t>
  </si>
  <si>
    <t>m.s-2</t>
  </si>
  <si>
    <t>Etage</t>
  </si>
  <si>
    <t>= racine( mu * (2/r-1/a) )</t>
  </si>
  <si>
    <t>k()</t>
  </si>
  <si>
    <t>Difference de DeltaV</t>
  </si>
  <si>
    <t>a_j()</t>
  </si>
  <si>
    <t>b_j()</t>
  </si>
  <si>
    <t>Omega_j()</t>
  </si>
  <si>
    <t>DeltaV(m.s-1)</t>
  </si>
  <si>
    <t>m_etage(kg)</t>
  </si>
  <si>
    <t>m_e(kg)</t>
  </si>
  <si>
    <t>Calculs</t>
  </si>
  <si>
    <t>inclinaison</t>
  </si>
  <si>
    <t>latitude</t>
  </si>
  <si>
    <t>azimut</t>
  </si>
  <si>
    <t>Omega_terre</t>
  </si>
  <si>
    <t>masse satellite</t>
  </si>
  <si>
    <t>deg</t>
  </si>
  <si>
    <t>rad.s-1</t>
  </si>
  <si>
    <t>kg</t>
  </si>
  <si>
    <t>Données-Terre</t>
  </si>
  <si>
    <t>Données-Trajectoire</t>
  </si>
  <si>
    <t>Données-Satellite</t>
  </si>
  <si>
    <t>Total</t>
  </si>
  <si>
    <t>EP4</t>
  </si>
  <si>
    <t>altitude périgée</t>
  </si>
  <si>
    <t>altitude apogée</t>
  </si>
  <si>
    <t>Type d'étage</t>
  </si>
  <si>
    <t>Solide</t>
  </si>
  <si>
    <t>Stockable</t>
  </si>
  <si>
    <t>Type</t>
  </si>
  <si>
    <t>b : rapport entre la masse initiale et la masse finale de l'étage</t>
  </si>
  <si>
    <t>a : rapport entre la masse de l'étage et la masse de l'étage supérieur</t>
  </si>
  <si>
    <t>k : indice constructif de l'étage : masse de structure sur masse d'ergols</t>
  </si>
  <si>
    <t>b : rapport entre la masse du lanceur en début de fonctionnement de l'étage et la masse du lanceur en fin de fonctionnement de l'étage</t>
  </si>
  <si>
    <t>a : rapport entre la masse du lanceur en début de fonctionnement de l'étage supérieur et la masse du lanceur en début de fonctionnement de l'étage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</si>
</sst>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#,##0.0"/>
    <numFmt numFmtId="166" formatCode="0.0%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</font>
  </fonts>
  <fills count="7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7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19">
    <xf numFmtId="0" fontId="0" fillId="0" borderId="0" xfId="0"/>
    <xf numFmtId="11" fontId="0" fillId="0" borderId="0" xfId="0" applyNumberFormat="1"/>
    <xf numFmtId="0" fontId="0" fillId="2" borderId="0" xfId="0" applyFill="1"/>
    <xf numFmtId="0" fontId="2" fillId="0" borderId="0" xfId="0" quotePrefix="1" applyFont="1"/>
    <xf numFmtId="0" fontId="2" fillId="0" borderId="0" xfId="0" applyFont="1"/>
    <xf numFmtId="0" fontId="0" fillId="0" borderId="0" xfId="0" applyAlignment="1">
      <alignment wrapText="1"/>
    </xf>
    <xf numFmtId="0" fontId="0" fillId="3" borderId="0" xfId="0" applyFill="1"/>
    <xf numFmtId="0" fontId="0" fillId="4" borderId="0" xfId="0" applyFill="1"/>
    <xf numFmtId="0" fontId="1" fillId="5" borderId="0" xfId="0" applyFont="1" applyFill="1"/>
    <xf numFmtId="0" fontId="0" fillId="5" borderId="0" xfId="0" applyFill="1"/>
    <xf numFmtId="0" fontId="1" fillId="4" borderId="0" xfId="0" applyFont="1" applyFill="1"/>
    <xf numFmtId="0" fontId="3" fillId="4" borderId="0" xfId="0" applyFont="1" applyFill="1"/>
    <xf numFmtId="0" fontId="0" fillId="6" borderId="0" xfId="0" applyFill="1"/>
    <xf numFmtId="0" fontId="0" fillId="6" borderId="0" xfId="0" applyFill="1" applyBorder="1"/>
    <xf numFmtId="11" fontId="0" fillId="3" borderId="0" xfId="0" applyNumberFormat="1" applyFill="1"/>
    <xf numFmtId="164" fontId="0" fillId="6" borderId="0" xfId="0" applyNumberFormat="1" applyFill="1"/>
    <xf numFmtId="0" fontId="0" fillId="6" borderId="0" xfId="0" applyNumberFormat="1" applyFill="1"/>
    <xf numFmtId="165" fontId="0" fillId="6" borderId="0" xfId="0" applyNumberFormat="1" applyFill="1"/>
    <xf numFmtId="166" fontId="0" fillId="0" borderId="0" xfId="0" applyNumberFormat="1"/>
  </cellXfs>
  <cellStyles count="17">
    <cellStyle name="Lien hypertexte" xfId="1" builtinId="8" hidden="1"/>
    <cellStyle name="Lien hypertexte" xfId="3" builtinId="8" hidden="1"/>
    <cellStyle name="Lien hypertexte" xfId="5" builtinId="8" hidden="1"/>
    <cellStyle name="Lien hypertexte" xfId="7" builtinId="8" hidden="1"/>
    <cellStyle name="Lien hypertexte" xfId="9" builtinId="8" hidden="1"/>
    <cellStyle name="Lien hypertexte" xfId="11" builtinId="8" hidden="1"/>
    <cellStyle name="Lien hypertexte" xfId="13" builtinId="8" hidden="1"/>
    <cellStyle name="Lien hypertexte" xfId="15" builtinId="8" hidden="1"/>
    <cellStyle name="Lien hypertexte visité" xfId="2" builtinId="9" hidden="1"/>
    <cellStyle name="Lien hypertexte visité" xfId="4" builtinId="9" hidden="1"/>
    <cellStyle name="Lien hypertexte visité" xfId="6" builtinId="9" hidden="1"/>
    <cellStyle name="Lien hypertexte visité" xfId="8" builtinId="9" hidden="1"/>
    <cellStyle name="Lien hypertexte visité" xfId="10" builtinId="9" hidden="1"/>
    <cellStyle name="Lien hypertexte visité" xfId="12" builtinId="9" hidden="1"/>
    <cellStyle name="Lien hypertexte visité" xfId="14" builtinId="9" hidden="1"/>
    <cellStyle name="Lien hypertexte visité" xfId="16" builtinId="9" hidden="1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17</xdr:row>
          <xdr:rowOff>38100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Etagement et calcul des ki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17</xdr:row>
          <xdr:rowOff>38100</xdr:rowOff>
        </xdr:from>
        <xdr:to>
          <xdr:col>8</xdr:col>
          <xdr:colOff>927100</xdr:colOff>
          <xdr:row>19</xdr:row>
          <xdr:rowOff>215900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Etagement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20</xdr:row>
          <xdr:rowOff>38100</xdr:rowOff>
        </xdr:from>
        <xdr:to>
          <xdr:col>8</xdr:col>
          <xdr:colOff>927100</xdr:colOff>
          <xdr:row>22</xdr:row>
          <xdr:rowOff>215900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 de 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17</xdr:row>
          <xdr:rowOff>38100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Etagement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4" Type="http://schemas.openxmlformats.org/officeDocument/2006/relationships/ctrlProp" Target="../ctrlProps/ctrlProp3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 enableFormatConditionsCalculation="0"/>
  <dimension ref="A1:J31"/>
  <sheetViews>
    <sheetView tabSelected="1" workbookViewId="0">
      <selection activeCell="L21" sqref="L21"/>
    </sheetView>
  </sheetViews>
  <sheetFormatPr baseColWidth="10" defaultRowHeight="14" x14ac:dyDescent="0"/>
  <cols>
    <col min="1" max="1" width="22.33203125" bestFit="1" customWidth="1"/>
    <col min="2" max="2" width="12.83203125" bestFit="1" customWidth="1"/>
    <col min="3" max="3" width="12.6640625" bestFit="1" customWidth="1"/>
    <col min="7" max="7" width="13.33203125" bestFit="1" customWidth="1"/>
    <col min="8" max="8" width="12.1640625" bestFit="1" customWidth="1"/>
    <col min="9" max="9" width="10.5" customWidth="1"/>
  </cols>
  <sheetData>
    <row r="1" spans="1:9">
      <c r="A1" s="8" t="s">
        <v>17</v>
      </c>
      <c r="B1" s="8"/>
      <c r="C1" s="8"/>
      <c r="D1" s="8"/>
      <c r="E1" s="8"/>
      <c r="F1" s="8"/>
      <c r="G1" s="8"/>
      <c r="H1" s="8"/>
      <c r="I1" s="8"/>
    </row>
    <row r="2" spans="1:9">
      <c r="A2" s="10" t="s">
        <v>41</v>
      </c>
      <c r="B2" s="10"/>
      <c r="C2" s="10"/>
      <c r="D2" s="7"/>
      <c r="E2" s="7"/>
      <c r="F2" s="7"/>
      <c r="G2" s="7"/>
      <c r="H2" s="7"/>
      <c r="I2" s="7"/>
    </row>
    <row r="3" spans="1:9">
      <c r="A3" t="s">
        <v>9</v>
      </c>
      <c r="B3" s="1">
        <v>398600500000000</v>
      </c>
      <c r="C3" t="s">
        <v>14</v>
      </c>
    </row>
    <row r="4" spans="1:9">
      <c r="A4" t="s">
        <v>10</v>
      </c>
      <c r="B4">
        <v>6378137</v>
      </c>
      <c r="C4" t="s">
        <v>5</v>
      </c>
    </row>
    <row r="5" spans="1:9">
      <c r="A5" t="s">
        <v>20</v>
      </c>
      <c r="B5">
        <v>9.8066499999999994</v>
      </c>
      <c r="C5" t="s">
        <v>21</v>
      </c>
    </row>
    <row r="6" spans="1:9">
      <c r="A6" t="s">
        <v>36</v>
      </c>
      <c r="B6">
        <f>RADIANS(360/(86164))</f>
        <v>7.2921235169903735E-5</v>
      </c>
      <c r="C6" t="s">
        <v>39</v>
      </c>
    </row>
    <row r="7" spans="1:9">
      <c r="A7" s="10" t="s">
        <v>42</v>
      </c>
      <c r="B7" s="10"/>
      <c r="C7" s="10"/>
      <c r="D7" s="10"/>
      <c r="E7" s="10"/>
      <c r="F7" s="10"/>
      <c r="G7" s="10"/>
      <c r="H7" s="10"/>
      <c r="I7" s="10"/>
    </row>
    <row r="8" spans="1:9">
      <c r="A8" t="s">
        <v>46</v>
      </c>
      <c r="B8">
        <f>250000</f>
        <v>250000</v>
      </c>
      <c r="C8" t="s">
        <v>5</v>
      </c>
    </row>
    <row r="9" spans="1:9">
      <c r="A9" t="s">
        <v>47</v>
      </c>
      <c r="B9">
        <f>250000</f>
        <v>250000</v>
      </c>
      <c r="C9" t="s">
        <v>5</v>
      </c>
      <c r="E9" t="str">
        <f>'2-etages'!E9</f>
        <v>b : rapport entre la masse du lanceur en début de fonctionnement de l'étage et la masse du lanceur en fin de fonctionnement de l'étage</v>
      </c>
    </row>
    <row r="10" spans="1:9">
      <c r="A10" t="s">
        <v>33</v>
      </c>
      <c r="B10">
        <v>90</v>
      </c>
      <c r="C10" t="s">
        <v>38</v>
      </c>
      <c r="E10" t="str">
        <f>'2-etages'!E10</f>
        <v>a : rapport entre la masse du lanceur en début de fonctionnement de l'étage supérieur et la masse du lanceur en début de fonctionnement de l'étage</v>
      </c>
    </row>
    <row r="11" spans="1:9">
      <c r="A11" t="s">
        <v>34</v>
      </c>
      <c r="B11">
        <v>5</v>
      </c>
      <c r="C11" t="s">
        <v>38</v>
      </c>
      <c r="E11" t="str">
        <f>'2-etages'!E11</f>
        <v>k : indice constructif de l'étage : masse de structure sur masse d'ergols</v>
      </c>
    </row>
    <row r="12" spans="1:9">
      <c r="A12" t="s">
        <v>35</v>
      </c>
      <c r="B12" s="12">
        <f>DEGREES(ASIN(COS(RADIANS(B10))/COS(RADIANS(B11))))</f>
        <v>3.5231986215998217E-15</v>
      </c>
      <c r="C12" t="s">
        <v>38</v>
      </c>
    </row>
    <row r="13" spans="1:9">
      <c r="A13" s="10" t="s">
        <v>43</v>
      </c>
      <c r="B13" s="10"/>
      <c r="C13" s="10"/>
      <c r="D13" s="10"/>
      <c r="E13" s="10"/>
      <c r="F13" s="10"/>
      <c r="G13" s="10"/>
      <c r="H13" s="10"/>
      <c r="I13" s="10"/>
    </row>
    <row r="14" spans="1:9">
      <c r="A14" t="s">
        <v>37</v>
      </c>
      <c r="B14">
        <v>500</v>
      </c>
      <c r="C14" t="s">
        <v>40</v>
      </c>
    </row>
    <row r="17" spans="1:10">
      <c r="A17" s="8" t="s">
        <v>32</v>
      </c>
      <c r="B17" s="8"/>
      <c r="C17" s="8"/>
      <c r="D17" s="9"/>
      <c r="E17" s="9"/>
      <c r="F17" s="9"/>
      <c r="G17" s="9"/>
      <c r="H17" s="9"/>
      <c r="I17" s="9"/>
    </row>
    <row r="18" spans="1:10">
      <c r="A18" t="s">
        <v>6</v>
      </c>
      <c r="B18" s="12">
        <f>B6*B4*COS(RADIANS(B11))*SIN(RADIANS(B12))</f>
        <v>2.8490927053510534E-14</v>
      </c>
      <c r="C18" t="s">
        <v>13</v>
      </c>
      <c r="D18" s="3"/>
    </row>
    <row r="19" spans="1:10">
      <c r="A19" t="s">
        <v>7</v>
      </c>
      <c r="B19">
        <v>2000</v>
      </c>
      <c r="C19" t="s">
        <v>15</v>
      </c>
      <c r="D19" s="4"/>
    </row>
    <row r="20" spans="1:10">
      <c r="A20" t="s">
        <v>8</v>
      </c>
      <c r="B20" s="15">
        <f>SQRT(B3*(2/(B8+B4)-2/(B4+B4+B8+B9)))</f>
        <v>7754.8460635185702</v>
      </c>
      <c r="C20" t="s">
        <v>13</v>
      </c>
      <c r="D20" s="3" t="s">
        <v>23</v>
      </c>
    </row>
    <row r="21" spans="1:10">
      <c r="A21" t="s">
        <v>16</v>
      </c>
      <c r="B21" s="15">
        <f>B20-B18+B19</f>
        <v>9754.8460635185693</v>
      </c>
      <c r="C21" t="s">
        <v>13</v>
      </c>
      <c r="D21" s="3" t="s">
        <v>18</v>
      </c>
    </row>
    <row r="22" spans="1:10">
      <c r="A22" t="s">
        <v>19</v>
      </c>
      <c r="B22" s="15">
        <f>MAX(SUM(G26:G28),0)</f>
        <v>9754.845517335847</v>
      </c>
      <c r="C22" t="s">
        <v>13</v>
      </c>
    </row>
    <row r="23" spans="1:10">
      <c r="A23" t="s">
        <v>25</v>
      </c>
      <c r="B23" s="16">
        <f>B21-B22</f>
        <v>5.4618272224615794E-4</v>
      </c>
      <c r="C23" t="s">
        <v>13</v>
      </c>
    </row>
    <row r="25" spans="1:10">
      <c r="A25" s="11" t="s">
        <v>22</v>
      </c>
      <c r="B25" s="11" t="s">
        <v>24</v>
      </c>
      <c r="C25" s="11" t="s">
        <v>3</v>
      </c>
      <c r="D25" s="11" t="s">
        <v>28</v>
      </c>
      <c r="E25" s="11" t="s">
        <v>27</v>
      </c>
      <c r="F25" s="11" t="s">
        <v>26</v>
      </c>
      <c r="G25" s="11" t="s">
        <v>29</v>
      </c>
      <c r="H25" s="11" t="s">
        <v>30</v>
      </c>
      <c r="I25" s="11" t="s">
        <v>31</v>
      </c>
      <c r="J25" s="11" t="s">
        <v>51</v>
      </c>
    </row>
    <row r="26" spans="1:10">
      <c r="A26" t="s">
        <v>0</v>
      </c>
      <c r="B26" s="18">
        <v>9.9343434291797886E-2</v>
      </c>
      <c r="C26">
        <v>254</v>
      </c>
      <c r="D26" s="12">
        <f>B26/(B26+1)</f>
        <v>9.0366150552211547E-2</v>
      </c>
      <c r="E26" s="12">
        <f>1/D26*(1-C27/C26*(1-D27*E27))</f>
        <v>5.0451521918565838</v>
      </c>
      <c r="F26" s="12">
        <f>(1+B26)/E26-B26</f>
        <v>0.1185575115044966</v>
      </c>
      <c r="G26" s="12">
        <f>IF(E26&gt;0,$B$5*C26*LN(E26),0)</f>
        <v>4031.3242165228889</v>
      </c>
      <c r="H26" s="17">
        <f t="shared" ref="H26:H27" si="0">H27/F26-H27</f>
        <v>37303.677738523627</v>
      </c>
      <c r="I26" s="17">
        <f t="shared" ref="I26:I27" si="1">H26/(1+B26)</f>
        <v>33932.687979853021</v>
      </c>
      <c r="J26" t="s">
        <v>49</v>
      </c>
    </row>
    <row r="27" spans="1:10">
      <c r="A27" t="s">
        <v>1</v>
      </c>
      <c r="B27" s="18">
        <v>0.13423399259857707</v>
      </c>
      <c r="C27">
        <v>290</v>
      </c>
      <c r="D27" s="12">
        <f>B27/(B27+1)</f>
        <v>0.11834770732892727</v>
      </c>
      <c r="E27" s="12">
        <f>1/D27*(1-C28/C27*(1-D28*E28))</f>
        <v>4.4230097842185128</v>
      </c>
      <c r="F27" s="12">
        <f t="shared" ref="F27:F28" si="2">(1+B27)/E27-B27</f>
        <v>0.12220541132170645</v>
      </c>
      <c r="G27" s="12">
        <f t="shared" ref="G27:G28" si="3">IF(E27&gt;0,$B$5*C27*LN(E27),0)</f>
        <v>4228.4109412428152</v>
      </c>
      <c r="H27" s="17">
        <f t="shared" si="0"/>
        <v>5017.4926445783767</v>
      </c>
      <c r="I27" s="17">
        <f t="shared" si="1"/>
        <v>4423.6838935527694</v>
      </c>
      <c r="J27" t="s">
        <v>49</v>
      </c>
    </row>
    <row r="28" spans="1:10">
      <c r="A28" t="s">
        <v>2</v>
      </c>
      <c r="B28" s="18">
        <v>0.59408150778820668</v>
      </c>
      <c r="C28">
        <v>335</v>
      </c>
      <c r="D28" s="12">
        <f>B28/(B28+1)</f>
        <v>0.37267950533627148</v>
      </c>
      <c r="E28" s="2">
        <v>1.5763325487506799</v>
      </c>
      <c r="F28" s="12">
        <f t="shared" si="2"/>
        <v>0.41717814617985582</v>
      </c>
      <c r="G28" s="12">
        <f t="shared" si="3"/>
        <v>1495.1103595701418</v>
      </c>
      <c r="H28" s="17">
        <f>H29/F28-H29</f>
        <v>698.52874504226224</v>
      </c>
      <c r="I28" s="17">
        <f>H28/(1+B28)</f>
        <v>438.20139787674543</v>
      </c>
      <c r="J28" t="s">
        <v>50</v>
      </c>
    </row>
    <row r="29" spans="1:10">
      <c r="A29" t="s">
        <v>4</v>
      </c>
      <c r="H29" s="12">
        <f>B14</f>
        <v>500</v>
      </c>
    </row>
    <row r="30" spans="1:10">
      <c r="H30" s="7" t="s">
        <v>44</v>
      </c>
    </row>
    <row r="31" spans="1:10">
      <c r="H31" s="12">
        <f>SUM(H26:H29)</f>
        <v>43519.699128144268</v>
      </c>
    </row>
  </sheetData>
  <dataConsolidate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tagement">
                <anchor moveWithCells="1" sizeWithCells="1">
                  <from>
                    <xdr:col>7</xdr:col>
                    <xdr:colOff>38100</xdr:colOff>
                    <xdr:row>17</xdr:row>
                    <xdr:rowOff>38100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 enableFormatConditionsCalculation="0"/>
  <dimension ref="A1:O31"/>
  <sheetViews>
    <sheetView workbookViewId="0">
      <selection activeCell="M6" sqref="M6:M7"/>
    </sheetView>
  </sheetViews>
  <sheetFormatPr baseColWidth="10" defaultRowHeight="14" x14ac:dyDescent="0"/>
  <cols>
    <col min="1" max="1" width="22.33203125" bestFit="1" customWidth="1"/>
    <col min="2" max="2" width="12" bestFit="1" customWidth="1"/>
    <col min="3" max="3" width="12.6640625" bestFit="1" customWidth="1"/>
    <col min="7" max="7" width="13.33203125" bestFit="1" customWidth="1"/>
    <col min="8" max="8" width="12.1640625" bestFit="1" customWidth="1"/>
    <col min="9" max="9" width="10.5" customWidth="1"/>
  </cols>
  <sheetData>
    <row r="1" spans="1:15">
      <c r="A1" s="8" t="s">
        <v>17</v>
      </c>
      <c r="B1" s="8"/>
      <c r="C1" s="8"/>
      <c r="D1" s="8"/>
      <c r="E1" s="8"/>
      <c r="F1" s="8"/>
      <c r="G1" s="8"/>
      <c r="H1" s="8"/>
      <c r="I1" s="8"/>
    </row>
    <row r="2" spans="1:15">
      <c r="A2" s="10" t="s">
        <v>41</v>
      </c>
      <c r="B2" s="10"/>
      <c r="C2" s="10"/>
      <c r="D2" s="7"/>
      <c r="E2" s="7"/>
      <c r="F2" s="7"/>
      <c r="G2" s="7"/>
      <c r="H2" s="7"/>
      <c r="I2" s="7"/>
      <c r="N2" s="5"/>
    </row>
    <row r="3" spans="1:15">
      <c r="A3" t="s">
        <v>9</v>
      </c>
      <c r="B3" s="14">
        <f>'3-etages'!B3</f>
        <v>398600500000000</v>
      </c>
      <c r="C3" t="s">
        <v>14</v>
      </c>
      <c r="N3" s="5"/>
      <c r="O3" s="5"/>
    </row>
    <row r="4" spans="1:15">
      <c r="A4" t="s">
        <v>10</v>
      </c>
      <c r="B4" s="6">
        <f>'3-etages'!B4</f>
        <v>6378137</v>
      </c>
      <c r="C4" t="s">
        <v>5</v>
      </c>
      <c r="N4" s="5"/>
    </row>
    <row r="5" spans="1:15">
      <c r="A5" t="s">
        <v>20</v>
      </c>
      <c r="B5" s="6">
        <f>'3-etages'!B5</f>
        <v>9.8066499999999994</v>
      </c>
      <c r="C5" t="s">
        <v>21</v>
      </c>
      <c r="N5" s="5"/>
    </row>
    <row r="6" spans="1:15">
      <c r="A6" t="s">
        <v>36</v>
      </c>
      <c r="B6" s="6">
        <f>'3-etages'!B6</f>
        <v>7.2921235169903735E-5</v>
      </c>
      <c r="C6" t="s">
        <v>39</v>
      </c>
      <c r="M6" t="s">
        <v>52</v>
      </c>
      <c r="N6" s="5"/>
    </row>
    <row r="7" spans="1:15">
      <c r="A7" s="10" t="s">
        <v>42</v>
      </c>
      <c r="B7" s="10"/>
      <c r="C7" s="10"/>
      <c r="D7" s="10"/>
      <c r="E7" s="10"/>
      <c r="F7" s="10"/>
      <c r="G7" s="10"/>
      <c r="H7" s="10"/>
      <c r="I7" s="10"/>
      <c r="M7" t="s">
        <v>53</v>
      </c>
      <c r="N7" s="5"/>
    </row>
    <row r="8" spans="1:15">
      <c r="A8" t="s">
        <v>11</v>
      </c>
      <c r="B8" s="6">
        <f>'3-etages'!B8</f>
        <v>250000</v>
      </c>
      <c r="C8" t="s">
        <v>5</v>
      </c>
      <c r="N8" s="5"/>
    </row>
    <row r="9" spans="1:15">
      <c r="A9" t="s">
        <v>12</v>
      </c>
      <c r="B9" s="6">
        <f>'3-etages'!B9</f>
        <v>250000</v>
      </c>
      <c r="C9" t="s">
        <v>5</v>
      </c>
      <c r="N9" s="5"/>
    </row>
    <row r="10" spans="1:15">
      <c r="A10" t="s">
        <v>33</v>
      </c>
      <c r="B10" s="6">
        <f>'3-etages'!B10</f>
        <v>90</v>
      </c>
      <c r="C10" t="s">
        <v>38</v>
      </c>
      <c r="N10" s="5"/>
      <c r="O10" s="5"/>
    </row>
    <row r="11" spans="1:15">
      <c r="A11" t="s">
        <v>34</v>
      </c>
      <c r="B11" s="6">
        <f>'3-etages'!B11</f>
        <v>5</v>
      </c>
      <c r="C11" t="s">
        <v>38</v>
      </c>
      <c r="N11" s="5"/>
      <c r="O11" s="5"/>
    </row>
    <row r="12" spans="1:15">
      <c r="A12" t="s">
        <v>35</v>
      </c>
      <c r="B12" s="12">
        <f>DEGREES(ASIN(COS(RADIANS(B10))/COS(RADIANS(B11))))</f>
        <v>3.5231986215998217E-15</v>
      </c>
      <c r="C12" t="s">
        <v>38</v>
      </c>
      <c r="N12" s="5"/>
    </row>
    <row r="13" spans="1:15">
      <c r="A13" s="10" t="s">
        <v>43</v>
      </c>
      <c r="B13" s="10"/>
      <c r="C13" s="10"/>
      <c r="D13" s="10"/>
      <c r="E13" s="10"/>
      <c r="F13" s="10"/>
      <c r="G13" s="10"/>
      <c r="H13" s="10"/>
      <c r="I13" s="10"/>
      <c r="N13" s="5"/>
    </row>
    <row r="14" spans="1:15">
      <c r="A14" t="s">
        <v>37</v>
      </c>
      <c r="B14" s="6">
        <f>'3-etages'!B14</f>
        <v>500</v>
      </c>
      <c r="C14" t="s">
        <v>40</v>
      </c>
      <c r="N14" s="5"/>
    </row>
    <row r="15" spans="1:15">
      <c r="N15" s="5"/>
    </row>
    <row r="16" spans="1:15">
      <c r="N16" s="5"/>
    </row>
    <row r="17" spans="1:14">
      <c r="A17" s="8" t="s">
        <v>32</v>
      </c>
      <c r="B17" s="8"/>
      <c r="C17" s="8"/>
      <c r="D17" s="9"/>
      <c r="E17" s="9"/>
      <c r="F17" s="9"/>
      <c r="G17" s="9"/>
      <c r="H17" s="9"/>
      <c r="I17" s="9"/>
      <c r="N17" s="5"/>
    </row>
    <row r="18" spans="1:14">
      <c r="A18" t="s">
        <v>6</v>
      </c>
      <c r="B18" s="13">
        <f>B6*B4*COS(RADIANS(B11))*SIN(RADIANS(B12))</f>
        <v>2.8490927053510534E-14</v>
      </c>
      <c r="C18" t="s">
        <v>13</v>
      </c>
      <c r="D18" s="3"/>
      <c r="N18" s="5"/>
    </row>
    <row r="19" spans="1:14">
      <c r="A19" t="s">
        <v>7</v>
      </c>
      <c r="B19" s="6">
        <f>'3-etages'!B19</f>
        <v>2000</v>
      </c>
      <c r="C19" t="s">
        <v>15</v>
      </c>
      <c r="D19" s="4"/>
      <c r="N19" s="5"/>
    </row>
    <row r="20" spans="1:14">
      <c r="A20" t="s">
        <v>8</v>
      </c>
      <c r="B20" s="12">
        <f>SQRT(B3*(2/(B8+B4)-2/(B4+B4+B8+B9)))</f>
        <v>7754.8460635185702</v>
      </c>
      <c r="C20" t="s">
        <v>13</v>
      </c>
      <c r="D20" s="3" t="s">
        <v>23</v>
      </c>
      <c r="N20" s="5"/>
    </row>
    <row r="21" spans="1:14">
      <c r="A21" t="s">
        <v>16</v>
      </c>
      <c r="B21" s="12">
        <f>B20-B18+B19</f>
        <v>9754.8460635185693</v>
      </c>
      <c r="C21" t="s">
        <v>13</v>
      </c>
      <c r="D21" s="3" t="s">
        <v>18</v>
      </c>
      <c r="N21" s="5"/>
    </row>
    <row r="22" spans="1:14">
      <c r="A22" t="s">
        <v>19</v>
      </c>
      <c r="B22" s="12">
        <f>MAX(SUM(G25:G28),0)</f>
        <v>6625.8995820760383</v>
      </c>
      <c r="C22" t="s">
        <v>13</v>
      </c>
    </row>
    <row r="23" spans="1:14">
      <c r="A23" t="s">
        <v>25</v>
      </c>
      <c r="B23" s="12">
        <f>B21-B22</f>
        <v>3128.946481442531</v>
      </c>
      <c r="C23" t="s">
        <v>13</v>
      </c>
    </row>
    <row r="24" spans="1:14">
      <c r="A24" s="11" t="s">
        <v>22</v>
      </c>
      <c r="B24" s="11" t="s">
        <v>24</v>
      </c>
      <c r="C24" s="11" t="s">
        <v>3</v>
      </c>
      <c r="D24" s="11" t="s">
        <v>28</v>
      </c>
      <c r="E24" s="11" t="s">
        <v>27</v>
      </c>
      <c r="F24" s="11" t="s">
        <v>26</v>
      </c>
      <c r="G24" s="11" t="s">
        <v>29</v>
      </c>
      <c r="H24" s="11" t="s">
        <v>30</v>
      </c>
      <c r="I24" s="11" t="s">
        <v>31</v>
      </c>
      <c r="J24" s="11" t="s">
        <v>48</v>
      </c>
    </row>
    <row r="25" spans="1:14">
      <c r="A25" t="s">
        <v>0</v>
      </c>
      <c r="B25">
        <v>3.9861022303098217</v>
      </c>
      <c r="C25">
        <v>280</v>
      </c>
      <c r="D25" s="12">
        <f t="shared" ref="D25:D26" si="0">B25/(B25+1)</f>
        <v>0.79944253972148038</v>
      </c>
      <c r="E25" s="12">
        <f t="shared" ref="E25:E26" si="1">1/D25*(1-C26/C25*(1-D26*E26))</f>
        <v>0.81447215471048995</v>
      </c>
      <c r="F25" s="12">
        <f t="shared" ref="F25:F26" si="2">(1+B25)/E25-B25</f>
        <v>2.1357795325874847</v>
      </c>
      <c r="G25" s="12">
        <f t="shared" ref="G25:G26" si="3">IF(E25&gt;0,$B$5*C25*LN(E25),0)</f>
        <v>-563.49217603862178</v>
      </c>
      <c r="H25" s="12">
        <f t="shared" ref="H25:H26" si="4">H26/F25-H26</f>
        <v>-4637.70806770536</v>
      </c>
      <c r="I25" s="12">
        <f>H25*(1-B25)</f>
        <v>13848.670404500828</v>
      </c>
      <c r="J25" t="s">
        <v>50</v>
      </c>
    </row>
    <row r="26" spans="1:14">
      <c r="A26" t="s">
        <v>1</v>
      </c>
      <c r="B26">
        <v>0.22629705653698298</v>
      </c>
      <c r="C26">
        <v>280</v>
      </c>
      <c r="D26" s="12">
        <f t="shared" si="0"/>
        <v>0.18453689938393669</v>
      </c>
      <c r="E26" s="12">
        <f t="shared" si="1"/>
        <v>3.5284200074235055</v>
      </c>
      <c r="F26" s="12">
        <f t="shared" si="2"/>
        <v>0.12125143654404333</v>
      </c>
      <c r="G26" s="12">
        <f t="shared" si="3"/>
        <v>3462.120599102162</v>
      </c>
      <c r="H26" s="12">
        <f t="shared" si="4"/>
        <v>8720.9900204448422</v>
      </c>
      <c r="I26" s="12">
        <f t="shared" ref="I26:I28" si="5">H26*(1-B26)</f>
        <v>6747.4556487297714</v>
      </c>
      <c r="J26" t="s">
        <v>49</v>
      </c>
    </row>
    <row r="27" spans="1:14">
      <c r="A27" t="s">
        <v>2</v>
      </c>
      <c r="B27">
        <v>0.23059106567337714</v>
      </c>
      <c r="C27">
        <v>280</v>
      </c>
      <c r="D27" s="12">
        <f>B27/(B27+1)</f>
        <v>0.18738236616986825</v>
      </c>
      <c r="E27" s="12">
        <f>1/D27*(1-C28/C27*(1-D28*E28))</f>
        <v>3.4748397151945221</v>
      </c>
      <c r="F27" s="12">
        <f t="shared" ref="F27:F28" si="6">(1+B27)/E27-B27</f>
        <v>0.12355219460200753</v>
      </c>
      <c r="G27" s="12">
        <f t="shared" ref="G27:G28" si="7">IF(E27&gt;0,$B$5*C27*LN(E27),0)</f>
        <v>3420.1038911959649</v>
      </c>
      <c r="H27" s="12">
        <f t="shared" ref="H27" si="8">H28/F27-H28</f>
        <v>1203.3391712260841</v>
      </c>
      <c r="I27" s="12">
        <f t="shared" si="5"/>
        <v>925.85990936654287</v>
      </c>
      <c r="J27" t="s">
        <v>49</v>
      </c>
    </row>
    <row r="28" spans="1:14">
      <c r="A28" t="s">
        <v>45</v>
      </c>
      <c r="B28">
        <v>1.3935566641723118</v>
      </c>
      <c r="C28">
        <v>280</v>
      </c>
      <c r="D28" s="12">
        <f>B28/(B28+1)</f>
        <v>0.58221168733191508</v>
      </c>
      <c r="E28" s="2">
        <v>1.1183624479921843</v>
      </c>
      <c r="F28" s="12">
        <f t="shared" si="6"/>
        <v>0.74667673553590119</v>
      </c>
      <c r="G28" s="12">
        <f t="shared" si="7"/>
        <v>307.16726781653313</v>
      </c>
      <c r="H28" s="12">
        <f>H29/F28-H29</f>
        <v>169.6338270686075</v>
      </c>
      <c r="I28" s="12">
        <f t="shared" si="5"/>
        <v>-66.760523111903979</v>
      </c>
      <c r="J28" t="s">
        <v>50</v>
      </c>
    </row>
    <row r="29" spans="1:14">
      <c r="A29" t="s">
        <v>4</v>
      </c>
      <c r="H29" s="12">
        <f>B14</f>
        <v>500</v>
      </c>
    </row>
    <row r="30" spans="1:14">
      <c r="H30" s="7" t="s">
        <v>44</v>
      </c>
    </row>
    <row r="31" spans="1:14">
      <c r="H31" s="12">
        <f>SUM(H25:H29)</f>
        <v>5956.2549510341732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Etagement">
                <anchor moveWithCells="1" sizeWithCells="1">
                  <from>
                    <xdr:col>7</xdr:col>
                    <xdr:colOff>38100</xdr:colOff>
                    <xdr:row>17</xdr:row>
                    <xdr:rowOff>38100</xdr:rowOff>
                  </from>
                  <to>
                    <xdr:col>8</xdr:col>
                    <xdr:colOff>927100</xdr:colOff>
                    <xdr:row>19</xdr:row>
                    <xdr:rowOff>215900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CalculK">
                <anchor moveWithCells="1" sizeWithCells="1">
                  <from>
                    <xdr:col>7</xdr:col>
                    <xdr:colOff>38100</xdr:colOff>
                    <xdr:row>20</xdr:row>
                    <xdr:rowOff>38100</xdr:rowOff>
                  </from>
                  <to>
                    <xdr:col>8</xdr:col>
                    <xdr:colOff>927100</xdr:colOff>
                    <xdr:row>22</xdr:row>
                    <xdr:rowOff>215900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 enableFormatConditionsCalculation="0"/>
  <dimension ref="A1:O31"/>
  <sheetViews>
    <sheetView workbookViewId="0">
      <selection activeCell="L17" sqref="L17"/>
    </sheetView>
  </sheetViews>
  <sheetFormatPr baseColWidth="10" defaultRowHeight="14" x14ac:dyDescent="0"/>
  <cols>
    <col min="1" max="1" width="22.33203125" bestFit="1" customWidth="1"/>
    <col min="2" max="2" width="12" bestFit="1" customWidth="1"/>
    <col min="3" max="3" width="12.6640625" bestFit="1" customWidth="1"/>
    <col min="7" max="7" width="13.33203125" bestFit="1" customWidth="1"/>
    <col min="8" max="8" width="12.1640625" bestFit="1" customWidth="1"/>
    <col min="9" max="9" width="10.5" customWidth="1"/>
  </cols>
  <sheetData>
    <row r="1" spans="1:15">
      <c r="A1" s="8" t="s">
        <v>17</v>
      </c>
      <c r="B1" s="8"/>
      <c r="C1" s="8"/>
      <c r="D1" s="8"/>
      <c r="E1" s="8"/>
      <c r="F1" s="8"/>
      <c r="G1" s="8"/>
      <c r="H1" s="8"/>
      <c r="I1" s="8"/>
    </row>
    <row r="2" spans="1:15">
      <c r="A2" s="10" t="s">
        <v>41</v>
      </c>
      <c r="B2" s="10"/>
      <c r="C2" s="10"/>
      <c r="D2" s="7"/>
      <c r="E2" s="7"/>
      <c r="F2" s="7"/>
      <c r="G2" s="7"/>
      <c r="H2" s="7"/>
      <c r="I2" s="7"/>
      <c r="N2" s="5"/>
    </row>
    <row r="3" spans="1:15">
      <c r="A3" t="s">
        <v>9</v>
      </c>
      <c r="B3" s="14">
        <f>'3-etages'!B3</f>
        <v>398600500000000</v>
      </c>
      <c r="C3" t="s">
        <v>14</v>
      </c>
      <c r="N3" s="5"/>
      <c r="O3" s="5"/>
    </row>
    <row r="4" spans="1:15">
      <c r="A4" t="s">
        <v>10</v>
      </c>
      <c r="B4" s="6">
        <f>'3-etages'!B4</f>
        <v>6378137</v>
      </c>
      <c r="C4" t="s">
        <v>5</v>
      </c>
      <c r="N4" s="5"/>
    </row>
    <row r="5" spans="1:15">
      <c r="A5" t="s">
        <v>20</v>
      </c>
      <c r="B5" s="6">
        <f>'3-etages'!B5</f>
        <v>9.8066499999999994</v>
      </c>
      <c r="C5" t="s">
        <v>21</v>
      </c>
      <c r="N5" s="5"/>
    </row>
    <row r="6" spans="1:15">
      <c r="A6" t="s">
        <v>36</v>
      </c>
      <c r="B6" s="6">
        <f>'3-etages'!B6</f>
        <v>7.2921235169903735E-5</v>
      </c>
      <c r="C6" t="s">
        <v>39</v>
      </c>
      <c r="N6" s="5"/>
    </row>
    <row r="7" spans="1:15">
      <c r="A7" s="10" t="s">
        <v>42</v>
      </c>
      <c r="B7" s="10"/>
      <c r="C7" s="10"/>
      <c r="D7" s="10"/>
      <c r="E7" s="10"/>
      <c r="F7" s="10"/>
      <c r="G7" s="10"/>
      <c r="H7" s="10"/>
      <c r="I7" s="10"/>
      <c r="N7" s="5"/>
    </row>
    <row r="8" spans="1:15">
      <c r="A8" t="s">
        <v>11</v>
      </c>
      <c r="B8" s="6">
        <f>'3-etages'!B8</f>
        <v>250000</v>
      </c>
      <c r="C8" t="s">
        <v>5</v>
      </c>
      <c r="N8" s="5"/>
    </row>
    <row r="9" spans="1:15">
      <c r="A9" t="s">
        <v>12</v>
      </c>
      <c r="B9" s="6">
        <f>'3-etages'!B9</f>
        <v>250000</v>
      </c>
      <c r="C9" t="s">
        <v>5</v>
      </c>
      <c r="E9" t="s">
        <v>55</v>
      </c>
      <c r="N9" s="5"/>
    </row>
    <row r="10" spans="1:15">
      <c r="A10" t="s">
        <v>33</v>
      </c>
      <c r="B10" s="6">
        <f>'3-etages'!B10</f>
        <v>90</v>
      </c>
      <c r="C10" t="s">
        <v>38</v>
      </c>
      <c r="E10" t="s">
        <v>56</v>
      </c>
      <c r="N10" s="5"/>
      <c r="O10" s="5"/>
    </row>
    <row r="11" spans="1:15">
      <c r="A11" t="s">
        <v>34</v>
      </c>
      <c r="B11" s="6">
        <f>'3-etages'!B11</f>
        <v>5</v>
      </c>
      <c r="C11" t="s">
        <v>38</v>
      </c>
      <c r="E11" t="s">
        <v>54</v>
      </c>
      <c r="N11" s="5"/>
      <c r="O11" s="5"/>
    </row>
    <row r="12" spans="1:15">
      <c r="A12" t="s">
        <v>35</v>
      </c>
      <c r="B12" s="12">
        <f>DEGREES(ASIN(COS(RADIANS(B10))/COS(RADIANS(B11))))</f>
        <v>3.5231986215998217E-15</v>
      </c>
      <c r="C12" t="s">
        <v>38</v>
      </c>
      <c r="N12" s="5"/>
    </row>
    <row r="13" spans="1:15">
      <c r="A13" s="10" t="s">
        <v>43</v>
      </c>
      <c r="B13" s="10"/>
      <c r="C13" s="10"/>
      <c r="D13" s="10"/>
      <c r="E13" s="10"/>
      <c r="F13" s="10"/>
      <c r="G13" s="10"/>
      <c r="H13" s="10"/>
      <c r="I13" s="10"/>
      <c r="N13" s="5"/>
    </row>
    <row r="14" spans="1:15">
      <c r="A14" t="s">
        <v>37</v>
      </c>
      <c r="B14" s="6">
        <f>'3-etages'!B14</f>
        <v>500</v>
      </c>
      <c r="C14" t="s">
        <v>40</v>
      </c>
      <c r="N14" s="5"/>
    </row>
    <row r="15" spans="1:15">
      <c r="N15" s="5"/>
    </row>
    <row r="16" spans="1:15">
      <c r="N16" s="5"/>
    </row>
    <row r="17" spans="1:14">
      <c r="A17" s="8" t="s">
        <v>32</v>
      </c>
      <c r="B17" s="8"/>
      <c r="C17" s="8"/>
      <c r="D17" s="9"/>
      <c r="E17" s="9"/>
      <c r="F17" s="9"/>
      <c r="G17" s="9"/>
      <c r="H17" s="9"/>
      <c r="I17" s="9"/>
      <c r="N17" s="5"/>
    </row>
    <row r="18" spans="1:14">
      <c r="A18" t="s">
        <v>6</v>
      </c>
      <c r="B18" s="13">
        <f>B6*B4*COS(RADIANS(B11))*SIN(RADIANS(B12))</f>
        <v>2.8490927053510534E-14</v>
      </c>
      <c r="C18" t="s">
        <v>13</v>
      </c>
      <c r="D18" s="3"/>
      <c r="N18" s="5"/>
    </row>
    <row r="19" spans="1:14">
      <c r="A19" t="s">
        <v>7</v>
      </c>
      <c r="B19" s="6">
        <f>'3-etages'!B19</f>
        <v>2000</v>
      </c>
      <c r="C19" t="s">
        <v>15</v>
      </c>
      <c r="D19" s="4"/>
      <c r="N19" s="5"/>
    </row>
    <row r="20" spans="1:14">
      <c r="A20" t="s">
        <v>8</v>
      </c>
      <c r="B20" s="12">
        <f>SQRT(B3*(2/(B8+B4)-2/(B4+B4+B8+B9)))</f>
        <v>7754.8460635185702</v>
      </c>
      <c r="C20" t="s">
        <v>13</v>
      </c>
      <c r="D20" s="3" t="s">
        <v>23</v>
      </c>
      <c r="N20" s="5"/>
    </row>
    <row r="21" spans="1:14">
      <c r="A21" t="s">
        <v>16</v>
      </c>
      <c r="B21" s="12">
        <f>B20-B18+B19</f>
        <v>9754.8460635185693</v>
      </c>
      <c r="C21" t="s">
        <v>13</v>
      </c>
      <c r="D21" s="3" t="s">
        <v>18</v>
      </c>
      <c r="N21" s="5"/>
    </row>
    <row r="22" spans="1:14">
      <c r="A22" t="s">
        <v>19</v>
      </c>
      <c r="B22" s="12">
        <f>MAX(SUM(G27:G28),0)</f>
        <v>9754.846047477582</v>
      </c>
      <c r="C22" t="s">
        <v>13</v>
      </c>
    </row>
    <row r="23" spans="1:14">
      <c r="A23" t="s">
        <v>25</v>
      </c>
      <c r="B23" s="12">
        <f>B21-B22</f>
        <v>1.6040987247833982E-5</v>
      </c>
      <c r="C23" t="s">
        <v>13</v>
      </c>
    </row>
    <row r="26" spans="1:14">
      <c r="A26" s="11" t="s">
        <v>22</v>
      </c>
      <c r="B26" s="11" t="s">
        <v>24</v>
      </c>
      <c r="C26" s="11" t="s">
        <v>3</v>
      </c>
      <c r="D26" s="11" t="s">
        <v>28</v>
      </c>
      <c r="E26" s="11" t="s">
        <v>27</v>
      </c>
      <c r="F26" s="11" t="s">
        <v>26</v>
      </c>
      <c r="G26" s="11" t="s">
        <v>29</v>
      </c>
      <c r="H26" s="11" t="s">
        <v>30</v>
      </c>
      <c r="I26" s="11" t="s">
        <v>31</v>
      </c>
    </row>
    <row r="27" spans="1:14">
      <c r="A27" t="s">
        <v>0</v>
      </c>
      <c r="B27">
        <v>0.2</v>
      </c>
      <c r="C27">
        <v>260</v>
      </c>
      <c r="D27" s="12">
        <f>B27/(B27+1)</f>
        <v>0.16666666666666669</v>
      </c>
      <c r="E27" s="12">
        <f>1/D27*(1-C28/C27*(1-D28*E28))</f>
        <v>6.7728244832435074</v>
      </c>
      <c r="F27" s="12">
        <f t="shared" ref="F27:F28" si="0">(1+B27)/E27-B27</f>
        <v>-2.2821335032541773E-2</v>
      </c>
      <c r="G27" s="12">
        <f t="shared" ref="G27:G28" si="1">IF(E27&gt;0,$B$5*C27*LN(E27),0)</f>
        <v>4877.423023738791</v>
      </c>
      <c r="H27" s="12">
        <f t="shared" ref="H27" si="2">H28/F27-H28</f>
        <v>1004355.5125974574</v>
      </c>
      <c r="I27" s="12">
        <f t="shared" ref="I27" si="3">H27/(1+B27)</f>
        <v>836962.92716454784</v>
      </c>
    </row>
    <row r="28" spans="1:14">
      <c r="A28" t="s">
        <v>1</v>
      </c>
      <c r="B28">
        <v>0.2</v>
      </c>
      <c r="C28">
        <v>260</v>
      </c>
      <c r="D28" s="12">
        <f>B28/(B28+1)</f>
        <v>0.16666666666666669</v>
      </c>
      <c r="E28" s="2">
        <v>6.7728244832435074</v>
      </c>
      <c r="F28" s="12">
        <f t="shared" si="0"/>
        <v>-2.2821335032541773E-2</v>
      </c>
      <c r="G28" s="12">
        <f t="shared" si="1"/>
        <v>4877.423023738791</v>
      </c>
      <c r="H28" s="12">
        <f>H29/F28-H29</f>
        <v>-22409.322977250533</v>
      </c>
      <c r="I28" s="12">
        <f>H28/(1+B28)</f>
        <v>-18674.435814375443</v>
      </c>
    </row>
    <row r="29" spans="1:14">
      <c r="A29" t="s">
        <v>4</v>
      </c>
      <c r="H29" s="12">
        <f>B14</f>
        <v>500</v>
      </c>
    </row>
    <row r="30" spans="1:14">
      <c r="H30" s="7" t="s">
        <v>44</v>
      </c>
    </row>
    <row r="31" spans="1:14">
      <c r="H31" s="12">
        <f>SUM(H27:H29)</f>
        <v>982446.18962020683</v>
      </c>
    </row>
  </sheetData>
  <dataConsolidate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tagement">
                <anchor moveWithCells="1" sizeWithCells="1">
                  <from>
                    <xdr:col>7</xdr:col>
                    <xdr:colOff>38100</xdr:colOff>
                    <xdr:row>17</xdr:row>
                    <xdr:rowOff>38100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 enableFormatConditionsCalculation="0"/>
  <dimension ref="A1"/>
  <sheetViews>
    <sheetView workbookViewId="0">
      <selection activeCell="A2" sqref="A2"/>
    </sheetView>
  </sheetViews>
  <sheetFormatPr baseColWidth="10" defaultRowHeight="14" x14ac:dyDescent="0"/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3-etages</vt:lpstr>
      <vt:lpstr>4-etages</vt:lpstr>
      <vt:lpstr>2-etages</vt:lpstr>
      <vt:lpstr>Feuil2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schiettex</dc:creator>
  <cp:lastModifiedBy>Augustin Girard</cp:lastModifiedBy>
  <dcterms:created xsi:type="dcterms:W3CDTF">2013-10-18T12:57:34Z</dcterms:created>
  <dcterms:modified xsi:type="dcterms:W3CDTF">2013-11-29T16:05:46Z</dcterms:modified>
</cp:coreProperties>
</file>